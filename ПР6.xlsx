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Информационные технологии\"/>
    </mc:Choice>
  </mc:AlternateContent>
  <bookViews>
    <workbookView xWindow="0" yWindow="0" windowWidth="23400" windowHeight="15165" activeTab="1"/>
  </bookViews>
  <sheets>
    <sheet name="Статистика" sheetId="1" r:id="rId1"/>
    <sheet name="Компания продаж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3" l="1"/>
  <c r="O2" i="3"/>
  <c r="N2" i="3"/>
  <c r="M2" i="3"/>
  <c r="L2" i="3"/>
  <c r="K2" i="3"/>
  <c r="J2" i="3"/>
  <c r="I2" i="3"/>
  <c r="H2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2" i="3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H1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<sst xmlns="http://schemas.openxmlformats.org/spreadsheetml/2006/main" count="59" uniqueCount="55">
  <si>
    <t>№</t>
  </si>
  <si>
    <t xml:space="preserve">ФИО студента 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</si>
  <si>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</si>
  <si>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</si>
  <si>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</si>
  <si>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</si>
  <si>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</si>
  <si>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</si>
  <si>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</si>
  <si>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Новиков Н.Н</t>
  </si>
  <si>
    <t>Морозова М.М</t>
  </si>
  <si>
    <t>Волкова В.В</t>
  </si>
  <si>
    <t>Смирнова С.С</t>
  </si>
  <si>
    <t>Кузнецов К.К</t>
  </si>
  <si>
    <t>Сидорова С.С</t>
  </si>
  <si>
    <t>Петрова С.С</t>
  </si>
  <si>
    <t>Иванов И.И</t>
  </si>
  <si>
    <t>Степанова С.С</t>
  </si>
  <si>
    <t>Козлова К.К</t>
  </si>
  <si>
    <t>Лебедева Л.Л</t>
  </si>
  <si>
    <t>Соколов С.С</t>
  </si>
  <si>
    <t>Павлова П.П</t>
  </si>
  <si>
    <t>Егоров Е.Е</t>
  </si>
  <si>
    <t>Фёдорова Ф.Ф</t>
  </si>
  <si>
    <t>Медиана</t>
  </si>
  <si>
    <t>Минимум</t>
  </si>
  <si>
    <t>Максимум</t>
  </si>
  <si>
    <t xml:space="preserve"> </t>
  </si>
  <si>
    <t>Товар</t>
  </si>
  <si>
    <t>Цена (руб.)</t>
  </si>
  <si>
    <t>Продано (шт.)</t>
  </si>
  <si>
    <t>Выручка</t>
  </si>
  <si>
    <t>Категория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</si>
  <si>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</si>
  <si>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</si>
  <si>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</si>
  <si>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</si>
  <si>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</si>
  <si>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</si>
  <si>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</si>
  <si>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</si>
  <si>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</si>
  <si>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</si>
  <si>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</si>
  <si>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</si>
  <si>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</si>
  <si>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</si>
  <si>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</si>
  <si>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Сумма</t>
  </si>
  <si>
    <t>Среднее</t>
  </si>
  <si>
    <t>Дисперсия</t>
  </si>
  <si>
    <t>Стандартное отклонение</t>
  </si>
  <si>
    <t>Количество товаров в категории Топ</t>
  </si>
  <si>
    <t>Сумма выручки товаров категории Топ</t>
  </si>
  <si>
    <t>Средняя выручка товаров категории Средний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</si>
</sst>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6" formatCode="#,##0.00\ &quot;₽&quot;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" fontId="0" fillId="0" borderId="1" xfId="0" applyNumberFormat="1" applyBorder="1"/>
    <xf numFmtId="0" fontId="0" fillId="0" borderId="0" xfId="0" applyFont="1"/>
    <xf numFmtId="0" fontId="2" fillId="2" borderId="0" xfId="0" applyFont="1" applyFill="1"/>
    <xf numFmtId="166" fontId="2" fillId="2" borderId="0" xfId="0" applyNumberFormat="1" applyFont="1" applyFill="1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H2" sqref="H2"/>
    </sheetView>
  </sheetViews>
  <sheetFormatPr defaultRowHeight="15" x14ac:dyDescent="0.25"/>
  <cols>
    <col min="1" max="9" width="16.140625" customWidth="1"/>
    <col min="10" max="12" width="16.28515625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</v>
      </c>
      <c r="K1" s="1" t="s">
        <v>25</v>
      </c>
      <c r="L1" s="1" t="s">
        <v>26</v>
      </c>
    </row>
    <row r="2" spans="1:12" x14ac:dyDescent="0.25">
      <c r="A2" s="3">
        <v>1</v>
      </c>
      <c r="B2" s="4" t="s">
        <v>16</v>
      </c>
      <c r="C2" s="3">
        <v>85</v>
      </c>
      <c r="D2" s="3">
        <v>78</v>
      </c>
      <c r="E2" s="3">
        <v>92</v>
      </c>
      <c r="F2" s="3">
        <f>SUM(C2:E2)</f>
        <v>255</v>
      </c>
      <c r="G2" s="5">
        <f>AVERAGE(C2:E2)</f>
        <v>85</v>
      </c>
      <c r="H2" s="3">
        <f>IF(G2&gt;=90, 5, IF(G2&gt;=80, 4, IF(G2&gt;=70, 3, IF(G2&gt;=60, 2, 2))))</f>
        <v>4</v>
      </c>
      <c r="I2" s="3">
        <f>RANK(F2, F2:F16)</f>
        <v>6</v>
      </c>
      <c r="J2" s="3">
        <f>MEDIAN(C2:E2)</f>
        <v>85</v>
      </c>
      <c r="K2" s="3">
        <f>MIN(C2:E2)</f>
        <v>78</v>
      </c>
      <c r="L2" s="3">
        <f>MAX(C2:E2)</f>
        <v>92</v>
      </c>
    </row>
    <row r="3" spans="1:12" x14ac:dyDescent="0.25">
      <c r="A3" s="3">
        <v>2</v>
      </c>
      <c r="B3" s="4" t="s">
        <v>15</v>
      </c>
      <c r="C3" s="3">
        <v>72</v>
      </c>
      <c r="D3" s="3">
        <v>65</v>
      </c>
      <c r="E3" s="3">
        <v>80</v>
      </c>
      <c r="F3" s="3">
        <f t="shared" ref="F3:F16" si="0">SUM(C3:E3)</f>
        <v>217</v>
      </c>
      <c r="G3" s="5">
        <f t="shared" ref="G3:G16" si="1">AVERAGE(C3:E3)</f>
        <v>72.333333333333329</v>
      </c>
      <c r="H3" s="3">
        <f t="shared" ref="H2:H14" si="2">IF(G3&gt;=90, 5, IF(G3&gt;=80, 4, IF(G3&gt;=70, 3, IF(G3&gt;=60, 2, 2))))</f>
        <v>3</v>
      </c>
      <c r="I3" s="3">
        <f t="shared" ref="I3:I16" si="3">RANK(F3, F3:F17)</f>
        <v>9</v>
      </c>
      <c r="J3" s="3">
        <f t="shared" ref="J3:J16" si="4">MEDIAN(C3:E3)</f>
        <v>72</v>
      </c>
      <c r="K3" s="3">
        <f t="shared" ref="K3:K16" si="5">MIN(C3:E3)</f>
        <v>65</v>
      </c>
      <c r="L3" s="3">
        <f t="shared" ref="L3:L16" si="6">MAX(C3:E3)</f>
        <v>80</v>
      </c>
    </row>
    <row r="4" spans="1:12" x14ac:dyDescent="0.25">
      <c r="A4" s="3">
        <v>3</v>
      </c>
      <c r="B4" s="4" t="s">
        <v>14</v>
      </c>
      <c r="C4" s="3">
        <v>95</v>
      </c>
      <c r="D4" s="3">
        <v>88</v>
      </c>
      <c r="E4" s="3">
        <v>98</v>
      </c>
      <c r="F4" s="3">
        <f t="shared" si="0"/>
        <v>281</v>
      </c>
      <c r="G4" s="5">
        <f t="shared" si="1"/>
        <v>93.666666666666671</v>
      </c>
      <c r="H4" s="3">
        <f t="shared" si="2"/>
        <v>5</v>
      </c>
      <c r="I4" s="3">
        <f t="shared" si="3"/>
        <v>2</v>
      </c>
      <c r="J4" s="3">
        <f t="shared" si="4"/>
        <v>95</v>
      </c>
      <c r="K4" s="3">
        <f t="shared" si="5"/>
        <v>88</v>
      </c>
      <c r="L4" s="3">
        <f t="shared" si="6"/>
        <v>98</v>
      </c>
    </row>
    <row r="5" spans="1:12" x14ac:dyDescent="0.25">
      <c r="A5" s="3">
        <v>4</v>
      </c>
      <c r="B5" s="4" t="s">
        <v>13</v>
      </c>
      <c r="C5" s="3">
        <v>65</v>
      </c>
      <c r="D5" s="3">
        <v>55</v>
      </c>
      <c r="E5" s="3">
        <v>70</v>
      </c>
      <c r="F5" s="3">
        <f t="shared" si="0"/>
        <v>190</v>
      </c>
      <c r="G5" s="5">
        <f t="shared" si="1"/>
        <v>63.333333333333336</v>
      </c>
      <c r="H5" s="3">
        <f t="shared" si="2"/>
        <v>2</v>
      </c>
      <c r="I5" s="3">
        <f t="shared" si="3"/>
        <v>10</v>
      </c>
      <c r="J5" s="3">
        <f t="shared" si="4"/>
        <v>65</v>
      </c>
      <c r="K5" s="3">
        <f t="shared" si="5"/>
        <v>55</v>
      </c>
      <c r="L5" s="3">
        <f t="shared" si="6"/>
        <v>70</v>
      </c>
    </row>
    <row r="6" spans="1:12" x14ac:dyDescent="0.25">
      <c r="A6" s="3">
        <v>5</v>
      </c>
      <c r="B6" s="4" t="s">
        <v>12</v>
      </c>
      <c r="C6" s="3">
        <v>78</v>
      </c>
      <c r="D6" s="3">
        <v>82</v>
      </c>
      <c r="E6" s="3">
        <v>85</v>
      </c>
      <c r="F6" s="3">
        <f t="shared" si="0"/>
        <v>245</v>
      </c>
      <c r="G6" s="5">
        <f t="shared" si="1"/>
        <v>81.666666666666671</v>
      </c>
      <c r="H6" s="3">
        <f t="shared" si="2"/>
        <v>4</v>
      </c>
      <c r="I6" s="3">
        <f t="shared" si="3"/>
        <v>5</v>
      </c>
      <c r="J6" s="3">
        <f t="shared" si="4"/>
        <v>82</v>
      </c>
      <c r="K6" s="3">
        <f t="shared" si="5"/>
        <v>78</v>
      </c>
      <c r="L6" s="3">
        <f t="shared" si="6"/>
        <v>85</v>
      </c>
    </row>
    <row r="7" spans="1:12" x14ac:dyDescent="0.25">
      <c r="A7" s="3">
        <v>6</v>
      </c>
      <c r="B7" s="4" t="s">
        <v>11</v>
      </c>
      <c r="C7" s="3">
        <v>88</v>
      </c>
      <c r="D7" s="3">
        <v>90</v>
      </c>
      <c r="E7" s="3">
        <v>95</v>
      </c>
      <c r="F7" s="3">
        <f t="shared" si="0"/>
        <v>273</v>
      </c>
      <c r="G7" s="5">
        <f t="shared" si="1"/>
        <v>91</v>
      </c>
      <c r="H7" s="3">
        <f t="shared" si="2"/>
        <v>5</v>
      </c>
      <c r="I7" s="3">
        <f t="shared" si="3"/>
        <v>3</v>
      </c>
      <c r="J7" s="3">
        <f t="shared" si="4"/>
        <v>90</v>
      </c>
      <c r="K7" s="3">
        <f t="shared" si="5"/>
        <v>88</v>
      </c>
      <c r="L7" s="3">
        <f t="shared" si="6"/>
        <v>95</v>
      </c>
    </row>
    <row r="8" spans="1:12" x14ac:dyDescent="0.25">
      <c r="A8" s="3">
        <v>7</v>
      </c>
      <c r="B8" s="4" t="s">
        <v>10</v>
      </c>
      <c r="C8" s="3">
        <v>65</v>
      </c>
      <c r="D8" s="3">
        <v>70</v>
      </c>
      <c r="E8" s="3">
        <v>68</v>
      </c>
      <c r="F8" s="3">
        <f t="shared" si="0"/>
        <v>203</v>
      </c>
      <c r="G8" s="5">
        <f t="shared" si="1"/>
        <v>67.666666666666671</v>
      </c>
      <c r="H8" s="3">
        <f t="shared" si="2"/>
        <v>2</v>
      </c>
      <c r="I8" s="3">
        <f t="shared" si="3"/>
        <v>7</v>
      </c>
      <c r="J8" s="3">
        <f t="shared" si="4"/>
        <v>68</v>
      </c>
      <c r="K8" s="3">
        <f t="shared" si="5"/>
        <v>65</v>
      </c>
      <c r="L8" s="3">
        <f t="shared" si="6"/>
        <v>70</v>
      </c>
    </row>
    <row r="9" spans="1:12" x14ac:dyDescent="0.25">
      <c r="A9" s="3">
        <v>8</v>
      </c>
      <c r="B9" s="4" t="s">
        <v>9</v>
      </c>
      <c r="C9" s="3">
        <v>92</v>
      </c>
      <c r="D9" s="3">
        <v>85</v>
      </c>
      <c r="E9" s="3">
        <v>88</v>
      </c>
      <c r="F9" s="3">
        <f t="shared" si="0"/>
        <v>265</v>
      </c>
      <c r="G9" s="5">
        <f t="shared" si="1"/>
        <v>88.333333333333329</v>
      </c>
      <c r="H9" s="3">
        <f t="shared" si="2"/>
        <v>4</v>
      </c>
      <c r="I9" s="3">
        <f t="shared" si="3"/>
        <v>3</v>
      </c>
      <c r="J9" s="3">
        <f t="shared" si="4"/>
        <v>88</v>
      </c>
      <c r="K9" s="3">
        <f t="shared" si="5"/>
        <v>85</v>
      </c>
      <c r="L9" s="3">
        <f t="shared" si="6"/>
        <v>92</v>
      </c>
    </row>
    <row r="10" spans="1:12" x14ac:dyDescent="0.25">
      <c r="A10" s="3">
        <v>9</v>
      </c>
      <c r="B10" s="4" t="s">
        <v>23</v>
      </c>
      <c r="C10" s="3">
        <v>55</v>
      </c>
      <c r="D10" s="3">
        <v>60</v>
      </c>
      <c r="E10" s="3">
        <v>58</v>
      </c>
      <c r="F10" s="3">
        <f t="shared" si="0"/>
        <v>173</v>
      </c>
      <c r="G10" s="5">
        <f t="shared" si="1"/>
        <v>57.666666666666664</v>
      </c>
      <c r="H10" s="3">
        <f t="shared" si="2"/>
        <v>2</v>
      </c>
      <c r="I10" s="3">
        <f t="shared" si="3"/>
        <v>7</v>
      </c>
      <c r="J10" s="3">
        <f t="shared" si="4"/>
        <v>58</v>
      </c>
      <c r="K10" s="3">
        <f t="shared" si="5"/>
        <v>55</v>
      </c>
      <c r="L10" s="3">
        <f t="shared" si="6"/>
        <v>60</v>
      </c>
    </row>
    <row r="11" spans="1:12" x14ac:dyDescent="0.25">
      <c r="A11" s="3">
        <v>10</v>
      </c>
      <c r="B11" s="4" t="s">
        <v>22</v>
      </c>
      <c r="C11" s="3">
        <v>80</v>
      </c>
      <c r="D11" s="3">
        <v>75</v>
      </c>
      <c r="E11" s="3">
        <v>82</v>
      </c>
      <c r="F11" s="3">
        <f t="shared" si="0"/>
        <v>237</v>
      </c>
      <c r="G11" s="5">
        <f t="shared" si="1"/>
        <v>79</v>
      </c>
      <c r="H11" s="3">
        <f t="shared" si="2"/>
        <v>3</v>
      </c>
      <c r="I11" s="3">
        <f t="shared" si="3"/>
        <v>3</v>
      </c>
      <c r="J11" s="3">
        <f t="shared" si="4"/>
        <v>80</v>
      </c>
      <c r="K11" s="3">
        <f t="shared" si="5"/>
        <v>75</v>
      </c>
      <c r="L11" s="3">
        <f t="shared" si="6"/>
        <v>82</v>
      </c>
    </row>
    <row r="12" spans="1:12" x14ac:dyDescent="0.25">
      <c r="A12" s="3">
        <v>11</v>
      </c>
      <c r="B12" s="4" t="s">
        <v>21</v>
      </c>
      <c r="C12" s="3">
        <v>70</v>
      </c>
      <c r="D12" s="3">
        <v>68</v>
      </c>
      <c r="E12" s="3">
        <v>72</v>
      </c>
      <c r="F12" s="3">
        <f t="shared" si="0"/>
        <v>210</v>
      </c>
      <c r="G12" s="5">
        <f t="shared" si="1"/>
        <v>70</v>
      </c>
      <c r="H12" s="3">
        <f t="shared" si="2"/>
        <v>3</v>
      </c>
      <c r="I12" s="3">
        <f t="shared" si="3"/>
        <v>4</v>
      </c>
      <c r="J12" s="3">
        <f t="shared" si="4"/>
        <v>70</v>
      </c>
      <c r="K12" s="3">
        <f t="shared" si="5"/>
        <v>68</v>
      </c>
      <c r="L12" s="3">
        <f t="shared" si="6"/>
        <v>72</v>
      </c>
    </row>
    <row r="13" spans="1:12" x14ac:dyDescent="0.25">
      <c r="A13" s="3">
        <v>12</v>
      </c>
      <c r="B13" s="4" t="s">
        <v>20</v>
      </c>
      <c r="C13" s="3">
        <v>90</v>
      </c>
      <c r="D13" s="3">
        <v>92</v>
      </c>
      <c r="E13" s="3">
        <v>94</v>
      </c>
      <c r="F13" s="3">
        <f t="shared" si="0"/>
        <v>276</v>
      </c>
      <c r="G13" s="5">
        <f t="shared" si="1"/>
        <v>92</v>
      </c>
      <c r="H13" s="3">
        <f t="shared" si="2"/>
        <v>5</v>
      </c>
      <c r="I13" s="3">
        <f t="shared" si="3"/>
        <v>2</v>
      </c>
      <c r="J13" s="3">
        <f t="shared" si="4"/>
        <v>92</v>
      </c>
      <c r="K13" s="3">
        <f t="shared" si="5"/>
        <v>90</v>
      </c>
      <c r="L13" s="3">
        <f t="shared" si="6"/>
        <v>94</v>
      </c>
    </row>
    <row r="14" spans="1:12" x14ac:dyDescent="0.25">
      <c r="A14" s="3">
        <v>13</v>
      </c>
      <c r="B14" s="4" t="s">
        <v>19</v>
      </c>
      <c r="C14" s="3">
        <v>75</v>
      </c>
      <c r="D14" s="3">
        <v>78</v>
      </c>
      <c r="E14" s="3">
        <v>80</v>
      </c>
      <c r="F14" s="3">
        <f t="shared" si="0"/>
        <v>233</v>
      </c>
      <c r="G14" s="5">
        <f t="shared" si="1"/>
        <v>77.666666666666671</v>
      </c>
      <c r="H14" s="3">
        <f t="shared" si="2"/>
        <v>3</v>
      </c>
      <c r="I14" s="3">
        <f t="shared" si="3"/>
        <v>2</v>
      </c>
      <c r="J14" s="3">
        <f t="shared" si="4"/>
        <v>78</v>
      </c>
      <c r="K14" s="3">
        <f t="shared" si="5"/>
        <v>75</v>
      </c>
      <c r="L14" s="3">
        <f t="shared" si="6"/>
        <v>80</v>
      </c>
    </row>
    <row r="15" spans="1:12" x14ac:dyDescent="0.25">
      <c r="A15" s="3">
        <v>14</v>
      </c>
      <c r="B15" s="4" t="s">
        <v>18</v>
      </c>
      <c r="C15" s="3">
        <v>62</v>
      </c>
      <c r="D15" s="3">
        <v>58</v>
      </c>
      <c r="E15" s="3">
        <v>65</v>
      </c>
      <c r="F15" s="3">
        <f t="shared" si="0"/>
        <v>185</v>
      </c>
      <c r="G15" s="5">
        <f t="shared" si="1"/>
        <v>61.666666666666664</v>
      </c>
      <c r="H15" s="3">
        <f>IF(G15&gt;=90, 5, IF(G15&gt;=80, 4, IF(G15&gt;=70, 3, IF(G15&gt;=60, 2, 2))))</f>
        <v>2</v>
      </c>
      <c r="I15" s="3">
        <f t="shared" si="3"/>
        <v>2</v>
      </c>
      <c r="J15" s="3">
        <f t="shared" si="4"/>
        <v>62</v>
      </c>
      <c r="K15" s="3">
        <f t="shared" si="5"/>
        <v>58</v>
      </c>
      <c r="L15" s="3">
        <f t="shared" si="6"/>
        <v>65</v>
      </c>
    </row>
    <row r="16" spans="1:12" x14ac:dyDescent="0.25">
      <c r="A16" s="3">
        <v>15</v>
      </c>
      <c r="B16" s="4" t="s">
        <v>17</v>
      </c>
      <c r="C16" s="3">
        <v>98</v>
      </c>
      <c r="D16" s="3">
        <v>95</v>
      </c>
      <c r="E16" s="3">
        <v>100</v>
      </c>
      <c r="F16" s="3">
        <f t="shared" si="0"/>
        <v>293</v>
      </c>
      <c r="G16" s="5">
        <f t="shared" si="1"/>
        <v>97.666666666666671</v>
      </c>
      <c r="H16" s="3">
        <f>IF(G16&gt;=90, 5, IF(G16&gt;=80, 4, IF(G16&gt;=70, 3, IF(G16&gt;=60, 2, 2))))</f>
        <v>5</v>
      </c>
      <c r="I16" s="3">
        <f t="shared" si="3"/>
        <v>1</v>
      </c>
      <c r="J16" s="3">
        <f t="shared" si="4"/>
        <v>98</v>
      </c>
      <c r="K16" s="3">
        <f t="shared" si="5"/>
        <v>95</v>
      </c>
      <c r="L16" s="3">
        <f t="shared" si="6"/>
        <v>100</v>
      </c>
    </row>
    <row r="20" spans="9:9" x14ac:dyDescent="0.25">
      <c r="I20" t="s">
        <v>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tabSelected="1" topLeftCell="E1" workbookViewId="0">
      <selection activeCell="K12" sqref="K12"/>
    </sheetView>
  </sheetViews>
  <sheetFormatPr defaultRowHeight="15" x14ac:dyDescent="0.25"/>
  <cols>
    <col min="1" max="5" width="19.85546875" customWidth="1"/>
    <col min="6" max="6" width="20" customWidth="1"/>
    <col min="7" max="13" width="24.42578125" customWidth="1"/>
  </cols>
  <sheetData>
    <row r="1" spans="1:16" x14ac:dyDescent="0.25">
      <c r="A1" s="7" t="s">
        <v>0</v>
      </c>
      <c r="B1" s="8" t="s">
        <v>28</v>
      </c>
      <c r="C1" s="7" t="s">
        <v>29</v>
      </c>
      <c r="D1" s="7" t="s">
        <v>30</v>
      </c>
      <c r="E1" s="8" t="s">
        <v>31</v>
      </c>
      <c r="F1" s="7" t="s">
        <v>32</v>
      </c>
      <c r="G1" s="7" t="s">
        <v>48</v>
      </c>
      <c r="H1" s="7" t="s">
        <v>49</v>
      </c>
      <c r="I1" s="7" t="s">
        <v>25</v>
      </c>
      <c r="J1" s="7" t="s">
        <v>26</v>
      </c>
      <c r="K1" s="7" t="s">
        <v>24</v>
      </c>
      <c r="L1" s="7" t="s">
        <v>50</v>
      </c>
      <c r="M1" s="7" t="s">
        <v>51</v>
      </c>
      <c r="N1" s="7" t="s">
        <v>52</v>
      </c>
      <c r="O1" s="7" t="s">
        <v>53</v>
      </c>
      <c r="P1" s="7" t="s">
        <v>54</v>
      </c>
    </row>
    <row r="2" spans="1:16" x14ac:dyDescent="0.25">
      <c r="A2">
        <v>1</v>
      </c>
      <c r="B2" s="9" t="s">
        <v>33</v>
      </c>
      <c r="C2" s="9">
        <v>45000</v>
      </c>
      <c r="D2">
        <v>12</v>
      </c>
      <c r="E2" s="9">
        <f>(C2*D2)</f>
        <v>540000</v>
      </c>
      <c r="F2" t="str">
        <f>IF(E2&gt;=100000, "Топ", IF(E2&gt;=50000, "Средний", "Низкий"))</f>
        <v>Топ</v>
      </c>
      <c r="G2" s="9">
        <f>SUM(E2:E16)</f>
        <v>1888100</v>
      </c>
      <c r="H2" s="9">
        <f>AVERAGE(E2:E16)</f>
        <v>125873.33333333333</v>
      </c>
      <c r="I2" s="9">
        <f>MIN(E2:E16)</f>
        <v>36000</v>
      </c>
      <c r="J2" s="9">
        <f>MAX(E2:E16)</f>
        <v>540000</v>
      </c>
      <c r="K2" s="9">
        <f>MEDIAN(E2:E16)</f>
        <v>70000</v>
      </c>
      <c r="L2">
        <f>VAR(E2:E16)</f>
        <v>23151240666.666668</v>
      </c>
      <c r="M2">
        <f>STDEVA((E2:E16))</f>
        <v>152155.31757604354</v>
      </c>
      <c r="N2">
        <f>COUNTIF(F2:F16,"Топ")</f>
        <v>3</v>
      </c>
      <c r="O2">
        <f>SUMIF(F2:F16,"Топ",E2:E16)</f>
        <v>1102000</v>
      </c>
      <c r="P2">
        <f>AVERAGEIF(F2:F16,"Средний",E2:E16)</f>
        <v>73011.111111111109</v>
      </c>
    </row>
    <row r="3" spans="1:16" x14ac:dyDescent="0.25">
      <c r="A3">
        <v>2</v>
      </c>
      <c r="B3" s="9" t="s">
        <v>34</v>
      </c>
      <c r="C3" s="9">
        <v>18000</v>
      </c>
      <c r="D3">
        <v>25</v>
      </c>
      <c r="E3" s="9">
        <f t="shared" ref="E3:E16" si="0">(C3*D3)</f>
        <v>450000</v>
      </c>
      <c r="F3" t="str">
        <f t="shared" ref="F3:F16" si="1">IF(E3&gt;=100000, "Топ", IF(E3&gt;=50000, "Средний", "Низкий"))</f>
        <v>Топ</v>
      </c>
    </row>
    <row r="4" spans="1:16" x14ac:dyDescent="0.25">
      <c r="A4">
        <v>3</v>
      </c>
      <c r="B4" s="9" t="s">
        <v>35</v>
      </c>
      <c r="C4" s="9">
        <v>1500</v>
      </c>
      <c r="D4">
        <v>60</v>
      </c>
      <c r="E4" s="9">
        <f t="shared" si="0"/>
        <v>90000</v>
      </c>
      <c r="F4" t="str">
        <f t="shared" si="1"/>
        <v>Средний</v>
      </c>
    </row>
    <row r="5" spans="1:16" x14ac:dyDescent="0.25">
      <c r="A5">
        <v>4</v>
      </c>
      <c r="B5" s="9" t="s">
        <v>36</v>
      </c>
      <c r="C5" s="9">
        <v>800</v>
      </c>
      <c r="D5">
        <v>85</v>
      </c>
      <c r="E5" s="9">
        <f t="shared" si="0"/>
        <v>68000</v>
      </c>
      <c r="F5" t="str">
        <f t="shared" si="1"/>
        <v>Средний</v>
      </c>
    </row>
    <row r="6" spans="1:16" x14ac:dyDescent="0.25">
      <c r="A6">
        <v>5</v>
      </c>
      <c r="B6" s="9" t="s">
        <v>37</v>
      </c>
      <c r="C6" s="9">
        <v>12000</v>
      </c>
      <c r="D6">
        <v>8</v>
      </c>
      <c r="E6" s="9">
        <f t="shared" si="0"/>
        <v>96000</v>
      </c>
      <c r="F6" t="str">
        <f t="shared" si="1"/>
        <v>Средний</v>
      </c>
    </row>
    <row r="7" spans="1:16" x14ac:dyDescent="0.25">
      <c r="A7">
        <v>6</v>
      </c>
      <c r="B7" s="9" t="s">
        <v>38</v>
      </c>
      <c r="C7" s="9">
        <v>9000</v>
      </c>
      <c r="D7">
        <v>6</v>
      </c>
      <c r="E7" s="9">
        <f t="shared" si="0"/>
        <v>54000</v>
      </c>
      <c r="F7" t="str">
        <f t="shared" si="1"/>
        <v>Средний</v>
      </c>
    </row>
    <row r="8" spans="1:16" x14ac:dyDescent="0.25">
      <c r="A8">
        <v>7</v>
      </c>
      <c r="B8" s="9" t="s">
        <v>39</v>
      </c>
      <c r="C8" s="9">
        <v>600</v>
      </c>
      <c r="D8">
        <v>120</v>
      </c>
      <c r="E8" s="9">
        <f t="shared" si="0"/>
        <v>72000</v>
      </c>
      <c r="F8" t="str">
        <f t="shared" si="1"/>
        <v>Средний</v>
      </c>
    </row>
    <row r="9" spans="1:16" x14ac:dyDescent="0.25">
      <c r="A9">
        <v>8</v>
      </c>
      <c r="B9" s="9" t="s">
        <v>40</v>
      </c>
      <c r="C9" s="9">
        <v>5500</v>
      </c>
      <c r="D9">
        <v>15</v>
      </c>
      <c r="E9" s="9">
        <f t="shared" si="0"/>
        <v>82500</v>
      </c>
      <c r="F9" t="str">
        <f t="shared" si="1"/>
        <v>Средний</v>
      </c>
    </row>
    <row r="10" spans="1:16" x14ac:dyDescent="0.25">
      <c r="A10">
        <v>9</v>
      </c>
      <c r="B10" s="9" t="s">
        <v>41</v>
      </c>
      <c r="C10" s="9">
        <v>2800</v>
      </c>
      <c r="D10">
        <v>22</v>
      </c>
      <c r="E10" s="9">
        <f t="shared" si="0"/>
        <v>61600</v>
      </c>
      <c r="F10" t="str">
        <f t="shared" si="1"/>
        <v>Средний</v>
      </c>
    </row>
    <row r="11" spans="1:16" x14ac:dyDescent="0.25">
      <c r="A11">
        <v>10</v>
      </c>
      <c r="B11" s="9" t="s">
        <v>42</v>
      </c>
      <c r="C11" s="9">
        <v>3200</v>
      </c>
      <c r="D11">
        <v>35</v>
      </c>
      <c r="E11" s="9">
        <f t="shared" si="0"/>
        <v>112000</v>
      </c>
      <c r="F11" t="str">
        <f t="shared" si="1"/>
        <v>Топ</v>
      </c>
    </row>
    <row r="12" spans="1:16" x14ac:dyDescent="0.25">
      <c r="A12">
        <v>11</v>
      </c>
      <c r="B12" s="9" t="s">
        <v>43</v>
      </c>
      <c r="C12" s="9">
        <v>400</v>
      </c>
      <c r="D12">
        <v>90</v>
      </c>
      <c r="E12" s="9">
        <f t="shared" si="0"/>
        <v>36000</v>
      </c>
      <c r="F12" t="str">
        <f t="shared" si="1"/>
        <v>Низкий</v>
      </c>
    </row>
    <row r="13" spans="1:16" x14ac:dyDescent="0.25">
      <c r="A13">
        <v>12</v>
      </c>
      <c r="B13" s="9" t="s">
        <v>44</v>
      </c>
      <c r="C13" s="9">
        <v>1200</v>
      </c>
      <c r="D13">
        <v>40</v>
      </c>
      <c r="E13" s="9">
        <f t="shared" si="0"/>
        <v>48000</v>
      </c>
      <c r="F13" t="str">
        <f t="shared" si="1"/>
        <v>Низкий</v>
      </c>
    </row>
    <row r="14" spans="1:16" x14ac:dyDescent="0.25">
      <c r="A14">
        <v>13</v>
      </c>
      <c r="B14" s="9" t="s">
        <v>45</v>
      </c>
      <c r="C14" s="9">
        <v>2500</v>
      </c>
      <c r="D14">
        <v>18</v>
      </c>
      <c r="E14" s="9">
        <f t="shared" si="0"/>
        <v>45000</v>
      </c>
      <c r="F14" t="str">
        <f t="shared" si="1"/>
        <v>Низкий</v>
      </c>
    </row>
    <row r="15" spans="1:16" x14ac:dyDescent="0.25">
      <c r="A15">
        <v>14</v>
      </c>
      <c r="B15" s="9" t="s">
        <v>46</v>
      </c>
      <c r="C15" s="9">
        <v>350</v>
      </c>
      <c r="D15">
        <v>200</v>
      </c>
      <c r="E15" s="9">
        <f t="shared" si="0"/>
        <v>70000</v>
      </c>
      <c r="F15" t="str">
        <f t="shared" si="1"/>
        <v>Средний</v>
      </c>
    </row>
    <row r="16" spans="1:16" x14ac:dyDescent="0.25">
      <c r="A16">
        <v>15</v>
      </c>
      <c r="B16" s="9" t="s">
        <v>47</v>
      </c>
      <c r="C16" s="9">
        <v>4500</v>
      </c>
      <c r="D16">
        <v>14</v>
      </c>
      <c r="E16" s="9">
        <f t="shared" si="0"/>
        <v>63000</v>
      </c>
      <c r="F16" t="str">
        <f t="shared" si="1"/>
        <v>Средний</v>
      </c>
    </row>
    <row r="45" spans="4:4" x14ac:dyDescent="0.25">
      <c r="D45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Компания продаж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2026-10-13T10:15:29Z</dcterms:created>
  <dcterms:modified xsi:type="dcterms:W3CDTF">2026-10-13T11:59:18Z</dcterms:modified>
</cp:coreProperties>
</file>